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usufkhatri/Desktop/mlda-policy-analysis /outputs/tables/"/>
    </mc:Choice>
  </mc:AlternateContent>
  <xr:revisionPtr revIDLastSave="0" documentId="8_{677E55C1-2CAA-334A-9D39-5E44EA104585}" xr6:coauthVersionLast="47" xr6:coauthVersionMax="47" xr10:uidLastSave="{00000000-0000-0000-0000-000000000000}"/>
  <bookViews>
    <workbookView xWindow="34200" yWindow="0" windowWidth="38400" windowHeight="21600" activeTab="1" xr2:uid="{A1C87711-759F-B542-9148-DF6178B53A31}"/>
  </bookViews>
  <sheets>
    <sheet name="IV Analysis" sheetId="1" r:id="rId1"/>
    <sheet name="Results Summary" sheetId="2" r:id="rId2"/>
  </sheets>
  <definedNames>
    <definedName name="_xlchart.v1.0" hidden="1">'Results Summary'!$A$5:$A$12</definedName>
    <definedName name="_xlchart.v1.1" hidden="1">'Results Summary'!$B$4</definedName>
    <definedName name="_xlchart.v1.2" hidden="1">'Results Summary'!$B$5:$B$12</definedName>
    <definedName name="_xlchart.v1.3" hidden="1">'Results Summary'!$A$5:$A$12</definedName>
    <definedName name="_xlchart.v1.4" hidden="1">'Results Summary'!$B$4</definedName>
    <definedName name="_xlchart.v1.5" hidden="1">'Results Summary'!$B$5:$B$12</definedName>
    <definedName name="_xlchart.v2.6" hidden="1">'Results Summary'!$A$5:$A$12</definedName>
    <definedName name="_xlchart.v2.7" hidden="1">'Results Summary'!$B$4</definedName>
    <definedName name="_xlchart.v2.8" hidden="1">'Results Summary'!$B$5:$B$12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9" i="1" l="1"/>
  <c r="J8" i="1"/>
  <c r="J7" i="1"/>
  <c r="J6" i="1"/>
  <c r="J5" i="1"/>
  <c r="J4" i="1"/>
  <c r="J3" i="1"/>
  <c r="J2" i="1"/>
  <c r="B5" i="2"/>
  <c r="D5" i="2" s="1"/>
  <c r="D6" i="2"/>
  <c r="E6" i="2"/>
  <c r="D7" i="2"/>
  <c r="E7" i="2"/>
  <c r="D8" i="2"/>
  <c r="E8" i="2"/>
  <c r="D9" i="2"/>
  <c r="E9" i="2"/>
  <c r="D10" i="2"/>
  <c r="E10" i="2"/>
  <c r="D11" i="2"/>
  <c r="E11" i="2"/>
  <c r="D12" i="2"/>
  <c r="E12" i="2"/>
  <c r="F6" i="2"/>
  <c r="F7" i="2"/>
  <c r="F8" i="2"/>
  <c r="F9" i="2"/>
  <c r="F10" i="2"/>
  <c r="F11" i="2"/>
  <c r="F12" i="2"/>
  <c r="F5" i="2"/>
  <c r="B6" i="2"/>
  <c r="C6" i="2"/>
  <c r="B7" i="2"/>
  <c r="C7" i="2"/>
  <c r="B8" i="2"/>
  <c r="C8" i="2"/>
  <c r="B9" i="2"/>
  <c r="C9" i="2"/>
  <c r="B10" i="2"/>
  <c r="C10" i="2"/>
  <c r="B11" i="2"/>
  <c r="C11" i="2"/>
  <c r="B12" i="2"/>
  <c r="C12" i="2"/>
  <c r="C5" i="2"/>
  <c r="K3" i="1"/>
  <c r="K4" i="1"/>
  <c r="K5" i="1"/>
  <c r="K6" i="1"/>
  <c r="K7" i="1"/>
  <c r="K8" i="1"/>
  <c r="K9" i="1"/>
  <c r="K2" i="1"/>
  <c r="H3" i="1"/>
  <c r="I3" i="1"/>
  <c r="H4" i="1"/>
  <c r="I4" i="1"/>
  <c r="H5" i="1"/>
  <c r="I5" i="1"/>
  <c r="H6" i="1"/>
  <c r="I6" i="1"/>
  <c r="H7" i="1"/>
  <c r="I7" i="1"/>
  <c r="H8" i="1"/>
  <c r="I8" i="1"/>
  <c r="H9" i="1"/>
  <c r="I9" i="1"/>
  <c r="I2" i="1"/>
  <c r="H2" i="1"/>
  <c r="G3" i="1"/>
  <c r="G4" i="1"/>
  <c r="G5" i="1"/>
  <c r="G6" i="1"/>
  <c r="G7" i="1"/>
  <c r="G8" i="1"/>
  <c r="G9" i="1"/>
  <c r="G2" i="1"/>
  <c r="F3" i="1"/>
  <c r="F4" i="1"/>
  <c r="F5" i="1"/>
  <c r="F6" i="1"/>
  <c r="F7" i="1"/>
  <c r="F8" i="1"/>
  <c r="F9" i="1"/>
  <c r="F2" i="1"/>
  <c r="E5" i="2" l="1"/>
</calcChain>
</file>

<file path=xl/sharedStrings.xml><?xml version="1.0" encoding="utf-8"?>
<sst xmlns="http://schemas.openxmlformats.org/spreadsheetml/2006/main" count="36" uniqueCount="35">
  <si>
    <t>outcome</t>
  </si>
  <si>
    <t>rf</t>
  </si>
  <si>
    <t>rf_se</t>
  </si>
  <si>
    <t>first_stage</t>
  </si>
  <si>
    <t>first_stage_se</t>
  </si>
  <si>
    <t>all</t>
  </si>
  <si>
    <t>drunk_risk</t>
  </si>
  <si>
    <t>dui</t>
  </si>
  <si>
    <t>liquor_laws</t>
  </si>
  <si>
    <t>combined_oth</t>
  </si>
  <si>
    <t>robbery</t>
  </si>
  <si>
    <t>ot_assault</t>
  </si>
  <si>
    <t>aggravated_assault</t>
  </si>
  <si>
    <t>IV Estimate</t>
  </si>
  <si>
    <t>IV Standard Error</t>
  </si>
  <si>
    <t>IV Per Percentage Point</t>
  </si>
  <si>
    <t>SE Per Percentage Point</t>
  </si>
  <si>
    <t>95% CL Lower</t>
  </si>
  <si>
    <t>95% CL Upper</t>
  </si>
  <si>
    <r>
      <t>Alcohol Consumption and Arrests: IV Results</t>
    </r>
    <r>
      <rPr>
        <sz val="12"/>
        <color theme="1"/>
        <rFont val="Aptos Narrow"/>
        <family val="2"/>
        <scheme val="minor"/>
      </rPr>
      <t>.</t>
    </r>
  </si>
  <si>
    <r>
      <t>Arrests per 10,000 per 1-percentage-point increase in drinking</t>
    </r>
    <r>
      <rPr>
        <sz val="12"/>
        <color theme="1"/>
        <rFont val="Aptos Narrow"/>
        <family val="2"/>
        <scheme val="minor"/>
      </rPr>
      <t>.</t>
    </r>
  </si>
  <si>
    <t>Arrest Category</t>
  </si>
  <si>
    <t>Standard Error</t>
  </si>
  <si>
    <t>95% CI Lower</t>
  </si>
  <si>
    <t>95% CI Upper</t>
  </si>
  <si>
    <t>Overall arrests</t>
  </si>
  <si>
    <t>Drunkenness / risk to self</t>
  </si>
  <si>
    <t>DUI</t>
  </si>
  <si>
    <t>Liquor-law violations</t>
  </si>
  <si>
    <t>Disorderly conduct / vagrancy</t>
  </si>
  <si>
    <t>Robbery</t>
  </si>
  <si>
    <t>Simple assault</t>
  </si>
  <si>
    <t>Aggravated assault</t>
  </si>
  <si>
    <t>CI Half-Width</t>
  </si>
  <si>
    <t>Estimates depend on the IV assumptions. Liquor-law arrests are directly affected by legal eligibility at 21, complicating their causal interpretation and that of total arrests.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</si>
</sst>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0"/>
      <color theme="1"/>
      <name val="Arial Unicode MS"/>
      <family val="2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0" borderId="0" xfId="0" applyFont="1"/>
    <xf numFmtId="2" fontId="0" fillId="0" borderId="0" xfId="0" applyNumberFormat="1"/>
    <xf numFmtId="0" fontId="19" fillId="0" borderId="0" xfId="0" applyFont="1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Drinking and Arrests: IV Estimates with 95% CIs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'Results Summary'!$B$4</c:f>
              <c:strCache>
                <c:ptCount val="1"/>
                <c:pt idx="0">
                  <c:v>IV Estimate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'Results Summary'!$F$5:$F$12</c:f>
                <c:numCache>
                  <c:formatCode>General</c:formatCode>
                  <c:ptCount val="8"/>
                  <c:pt idx="0">
                    <c:v>3.085840517823649</c:v>
                  </c:pt>
                  <c:pt idx="1">
                    <c:v>1.236884737294603</c:v>
                  </c:pt>
                  <c:pt idx="2">
                    <c:v>1.9723877565313157</c:v>
                  </c:pt>
                  <c:pt idx="3">
                    <c:v>2.7179691464707418</c:v>
                  </c:pt>
                  <c:pt idx="4">
                    <c:v>9.9238911242454264E-2</c:v>
                  </c:pt>
                  <c:pt idx="5">
                    <c:v>0.10190117576261765</c:v>
                  </c:pt>
                  <c:pt idx="6">
                    <c:v>0.23575048286884098</c:v>
                  </c:pt>
                  <c:pt idx="7">
                    <c:v>0.18160948874957838</c:v>
                  </c:pt>
                </c:numCache>
              </c:numRef>
            </c:plus>
            <c:minus>
              <c:numRef>
                <c:f>'Results Summary'!$F$5:$F$12</c:f>
                <c:numCache>
                  <c:formatCode>General</c:formatCode>
                  <c:ptCount val="8"/>
                  <c:pt idx="0">
                    <c:v>3.085840517823649</c:v>
                  </c:pt>
                  <c:pt idx="1">
                    <c:v>1.236884737294603</c:v>
                  </c:pt>
                  <c:pt idx="2">
                    <c:v>1.9723877565313157</c:v>
                  </c:pt>
                  <c:pt idx="3">
                    <c:v>2.7179691464707418</c:v>
                  </c:pt>
                  <c:pt idx="4">
                    <c:v>9.9238911242454264E-2</c:v>
                  </c:pt>
                  <c:pt idx="5">
                    <c:v>0.10190117576261765</c:v>
                  </c:pt>
                  <c:pt idx="6">
                    <c:v>0.23575048286884098</c:v>
                  </c:pt>
                  <c:pt idx="7">
                    <c:v>0.18160948874957838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'Results Summary'!$A$5:$A$12</c:f>
              <c:strCache>
                <c:ptCount val="8"/>
                <c:pt idx="0">
                  <c:v>Overall arrests</c:v>
                </c:pt>
                <c:pt idx="1">
                  <c:v>Drunkenness / risk to self</c:v>
                </c:pt>
                <c:pt idx="2">
                  <c:v>DUI</c:v>
                </c:pt>
                <c:pt idx="3">
                  <c:v>Liquor-law violations</c:v>
                </c:pt>
                <c:pt idx="4">
                  <c:v>Disorderly conduct / vagrancy</c:v>
                </c:pt>
                <c:pt idx="5">
                  <c:v>Robbery</c:v>
                </c:pt>
                <c:pt idx="6">
                  <c:v>Simple assault</c:v>
                </c:pt>
                <c:pt idx="7">
                  <c:v>Aggravated assault</c:v>
                </c:pt>
              </c:strCache>
            </c:strRef>
          </c:cat>
          <c:val>
            <c:numRef>
              <c:f>'Results Summary'!$B$5:$B$12</c:f>
              <c:numCache>
                <c:formatCode>0.00</c:formatCode>
                <c:ptCount val="8"/>
                <c:pt idx="0">
                  <c:v>9.0450176470175077</c:v>
                </c:pt>
                <c:pt idx="1">
                  <c:v>3.7257450219133998</c:v>
                </c:pt>
                <c:pt idx="2">
                  <c:v>6.0441543713484691</c:v>
                </c:pt>
                <c:pt idx="3">
                  <c:v>-8.4058516997616906</c:v>
                </c:pt>
                <c:pt idx="4">
                  <c:v>0.25473302607007325</c:v>
                </c:pt>
                <c:pt idx="5">
                  <c:v>0.24090989712816671</c:v>
                </c:pt>
                <c:pt idx="6">
                  <c:v>0.64939365006604377</c:v>
                </c:pt>
                <c:pt idx="7">
                  <c:v>0.44201906920734879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DD-F147-B0E3-0558C90460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75679008"/>
        <c:axId val="775660160"/>
      </c:barChart>
      <c:catAx>
        <c:axId val="7756790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5660160"/>
        <c:crosses val="autoZero"/>
        <c:auto val="1"/>
        <c:lblAlgn val="ctr"/>
        <c:lblOffset val="100"/>
        <c:noMultiLvlLbl val="0"/>
      </c:catAx>
      <c:valAx>
        <c:axId val="7756601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Arrests per 10,000 per 1-percentage-point</a:t>
                </a:r>
                <a:r>
                  <a:rPr lang="en-US" baseline="0"/>
                  <a:t> increase in drinking</a:t>
                </a:r>
              </a:p>
              <a:p>
                <a:pPr>
                  <a:defRPr/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56790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1155700</xdr:colOff>
      <xdr:row>14</xdr:row>
      <xdr:rowOff>12700</xdr:rowOff>
    </xdr:from>
    <xdr:to>
      <xdr:col>11</xdr:col>
      <xdr:colOff>12700</xdr:colOff>
      <xdr:row>41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097FA7C-FD04-7222-CB5F-F4DB79F31B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BDF41-95A6-134F-A430-0E9AED58529C}">
  <dimension ref="A1:K9"/>
  <sheetViews>
    <sheetView workbookViewId="0">
      <selection activeCell="H15" sqref="H15"/>
    </sheetView>
  </sheetViews>
  <sheetFormatPr baseColWidth="10" defaultRowHeight="16" x14ac:dyDescent="0.2"/>
  <cols>
    <col min="1" max="1" width="16.83203125" bestFit="1" customWidth="1"/>
    <col min="2" max="2" width="12.83203125" bestFit="1" customWidth="1"/>
    <col min="3" max="3" width="11.1640625" bestFit="1" customWidth="1"/>
    <col min="4" max="6" width="12.1640625" bestFit="1" customWidth="1"/>
    <col min="7" max="7" width="14.6640625" bestFit="1" customWidth="1"/>
    <col min="8" max="8" width="19.83203125" bestFit="1" customWidth="1"/>
    <col min="9" max="9" width="20.33203125" bestFit="1" customWidth="1"/>
    <col min="10" max="10" width="12.83203125" bestFit="1" customWidth="1"/>
    <col min="11" max="11" width="12.33203125" bestFit="1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</row>
    <row r="2" spans="1:11" x14ac:dyDescent="0.2">
      <c r="A2" t="s">
        <v>5</v>
      </c>
      <c r="B2">
        <v>76.761792282852895</v>
      </c>
      <c r="C2">
        <v>4.297955</v>
      </c>
      <c r="D2">
        <v>8.4866382000000004E-2</v>
      </c>
      <c r="E2">
        <v>1.3987042999999999E-2</v>
      </c>
      <c r="F2">
        <f>B2/D2</f>
        <v>904.50176470175074</v>
      </c>
      <c r="G2">
        <f>SQRT((C2^2/D2^2)+(B2^2*E2^2/D2^4))</f>
        <v>157.44084274610455</v>
      </c>
      <c r="H2">
        <f>F2/100</f>
        <v>9.0450176470175077</v>
      </c>
      <c r="I2">
        <f t="shared" ref="I2:J2" si="0">G2/100</f>
        <v>1.5744084274610455</v>
      </c>
      <c r="J2">
        <f>H2-1.96*I2</f>
        <v>5.9591771291938587</v>
      </c>
      <c r="K2">
        <f>H2+1.96*I2</f>
        <v>12.130858164841158</v>
      </c>
    </row>
    <row r="3" spans="1:11" x14ac:dyDescent="0.2">
      <c r="A3" t="s">
        <v>6</v>
      </c>
      <c r="B3">
        <v>31.619050026430099</v>
      </c>
      <c r="C3">
        <v>1.2352238</v>
      </c>
      <c r="D3">
        <v>8.4866382000000004E-2</v>
      </c>
      <c r="E3">
        <v>1.3987042999999999E-2</v>
      </c>
      <c r="F3">
        <f t="shared" ref="F3:F9" si="1">B3/D3</f>
        <v>372.57450219134</v>
      </c>
      <c r="G3">
        <f t="shared" ref="G3:G9" si="2">SQRT((C3^2/D3^2)+(B3^2*E3^2/D3^4))</f>
        <v>63.10636414768382</v>
      </c>
      <c r="H3">
        <f t="shared" ref="H3:H9" si="3">F3/100</f>
        <v>3.7257450219133998</v>
      </c>
      <c r="I3">
        <f t="shared" ref="I3:I9" si="4">G3/100</f>
        <v>0.63106364147683824</v>
      </c>
      <c r="J3">
        <f t="shared" ref="J3:J9" si="5">H3-1.96*I3</f>
        <v>2.4888602846187968</v>
      </c>
      <c r="K3">
        <f t="shared" ref="K3:K9" si="6">H3+1.96*I3</f>
        <v>4.9626297592080029</v>
      </c>
    </row>
    <row r="4" spans="1:11" x14ac:dyDescent="0.2">
      <c r="A4" t="s">
        <v>7</v>
      </c>
      <c r="B4">
        <v>51.294551374582902</v>
      </c>
      <c r="C4">
        <v>1.2109745999999999</v>
      </c>
      <c r="D4">
        <v>8.4866382000000004E-2</v>
      </c>
      <c r="E4">
        <v>1.3987042999999999E-2</v>
      </c>
      <c r="F4">
        <f t="shared" si="1"/>
        <v>604.41543713484691</v>
      </c>
      <c r="G4">
        <f t="shared" si="2"/>
        <v>100.63202839445489</v>
      </c>
      <c r="H4">
        <f t="shared" si="3"/>
        <v>6.0441543713484691</v>
      </c>
      <c r="I4">
        <f t="shared" si="4"/>
        <v>1.0063202839445489</v>
      </c>
      <c r="J4">
        <f t="shared" si="5"/>
        <v>4.0717666148171539</v>
      </c>
      <c r="K4">
        <f t="shared" si="6"/>
        <v>8.0165421278797844</v>
      </c>
    </row>
    <row r="5" spans="1:11" x14ac:dyDescent="0.2">
      <c r="A5" t="s">
        <v>8</v>
      </c>
      <c r="B5">
        <v>-71.337422138732506</v>
      </c>
      <c r="C5">
        <v>0.51516812999999995</v>
      </c>
      <c r="D5">
        <v>8.4866382000000004E-2</v>
      </c>
      <c r="E5">
        <v>1.3987042999999999E-2</v>
      </c>
      <c r="F5">
        <f t="shared" si="1"/>
        <v>-840.58516997616914</v>
      </c>
      <c r="G5">
        <f t="shared" si="2"/>
        <v>138.67189522809909</v>
      </c>
      <c r="H5">
        <f t="shared" si="3"/>
        <v>-8.4058516997616906</v>
      </c>
      <c r="I5">
        <f t="shared" si="4"/>
        <v>1.3867189522809908</v>
      </c>
      <c r="J5">
        <f t="shared" si="5"/>
        <v>-11.123820846232432</v>
      </c>
      <c r="K5">
        <f t="shared" si="6"/>
        <v>-5.6878825532909492</v>
      </c>
    </row>
    <row r="6" spans="1:11" x14ac:dyDescent="0.2">
      <c r="A6" t="s">
        <v>9</v>
      </c>
      <c r="B6">
        <v>2.1618270298478799</v>
      </c>
      <c r="C6">
        <v>0.24019146</v>
      </c>
      <c r="D6">
        <v>8.4866382000000004E-2</v>
      </c>
      <c r="E6">
        <v>1.3987042999999999E-2</v>
      </c>
      <c r="F6">
        <f t="shared" si="1"/>
        <v>25.473302607007327</v>
      </c>
      <c r="G6">
        <f t="shared" si="2"/>
        <v>5.0632097572680754</v>
      </c>
      <c r="H6">
        <f t="shared" si="3"/>
        <v>0.25473302607007325</v>
      </c>
      <c r="I6">
        <f t="shared" si="4"/>
        <v>5.0632097572680751E-2</v>
      </c>
      <c r="J6">
        <f t="shared" si="5"/>
        <v>0.15549411482761899</v>
      </c>
      <c r="K6">
        <f t="shared" si="6"/>
        <v>0.35397193731252752</v>
      </c>
    </row>
    <row r="7" spans="1:11" x14ac:dyDescent="0.2">
      <c r="A7" t="s">
        <v>10</v>
      </c>
      <c r="B7">
        <v>2.0445151357259701</v>
      </c>
      <c r="C7">
        <v>0.28484230999999999</v>
      </c>
      <c r="D7">
        <v>8.4866382000000004E-2</v>
      </c>
      <c r="E7">
        <v>1.3987042999999999E-2</v>
      </c>
      <c r="F7">
        <f t="shared" si="1"/>
        <v>24.090989712816672</v>
      </c>
      <c r="G7">
        <f t="shared" si="2"/>
        <v>5.1990395797253903</v>
      </c>
      <c r="H7">
        <f t="shared" si="3"/>
        <v>0.24090989712816671</v>
      </c>
      <c r="I7">
        <f t="shared" si="4"/>
        <v>5.1990395797253904E-2</v>
      </c>
      <c r="J7">
        <f t="shared" si="5"/>
        <v>0.13900872136554906</v>
      </c>
      <c r="K7">
        <f t="shared" si="6"/>
        <v>0.34281107289078439</v>
      </c>
    </row>
    <row r="8" spans="1:11" x14ac:dyDescent="0.2">
      <c r="A8" t="s">
        <v>11</v>
      </c>
      <c r="B8">
        <v>5.5111689574879197</v>
      </c>
      <c r="C8">
        <v>0.46579564000000001</v>
      </c>
      <c r="D8">
        <v>8.4866382000000004E-2</v>
      </c>
      <c r="E8">
        <v>1.3987042999999999E-2</v>
      </c>
      <c r="F8">
        <f t="shared" si="1"/>
        <v>64.939365006604376</v>
      </c>
      <c r="G8">
        <f t="shared" si="2"/>
        <v>12.028085860655152</v>
      </c>
      <c r="H8">
        <f t="shared" si="3"/>
        <v>0.64939365006604377</v>
      </c>
      <c r="I8">
        <f t="shared" si="4"/>
        <v>0.12028085860655152</v>
      </c>
      <c r="J8">
        <f t="shared" si="5"/>
        <v>0.41364316719720279</v>
      </c>
      <c r="K8">
        <f t="shared" si="6"/>
        <v>0.88514413293488481</v>
      </c>
    </row>
    <row r="9" spans="1:11" x14ac:dyDescent="0.2">
      <c r="A9" t="s">
        <v>12</v>
      </c>
      <c r="B9">
        <v>3.7512559178635301</v>
      </c>
      <c r="C9">
        <v>0.48591644000000001</v>
      </c>
      <c r="D9">
        <v>8.4866382000000004E-2</v>
      </c>
      <c r="E9">
        <v>1.3987042999999999E-2</v>
      </c>
      <c r="F9">
        <f t="shared" si="1"/>
        <v>44.201906920734878</v>
      </c>
      <c r="G9">
        <f t="shared" si="2"/>
        <v>9.2657902423254281</v>
      </c>
      <c r="H9">
        <f t="shared" si="3"/>
        <v>0.44201906920734879</v>
      </c>
      <c r="I9">
        <f t="shared" si="4"/>
        <v>9.2657902423254279E-2</v>
      </c>
      <c r="J9">
        <f t="shared" si="5"/>
        <v>0.26040958045777041</v>
      </c>
      <c r="K9">
        <f t="shared" si="6"/>
        <v>0.62362855795692718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B4B09-F29C-C24D-A36C-C283F4E0FEEE}">
  <dimension ref="A1:F15"/>
  <sheetViews>
    <sheetView tabSelected="1" workbookViewId="0">
      <selection activeCell="L15" sqref="L15"/>
    </sheetView>
  </sheetViews>
  <sheetFormatPr baseColWidth="10" defaultRowHeight="16" x14ac:dyDescent="0.2"/>
  <cols>
    <col min="1" max="1" width="50" customWidth="1"/>
    <col min="2" max="2" width="15.33203125" bestFit="1" customWidth="1"/>
    <col min="3" max="3" width="14.6640625" bestFit="1" customWidth="1"/>
    <col min="4" max="4" width="16.5" bestFit="1" customWidth="1"/>
    <col min="5" max="5" width="15.6640625" bestFit="1" customWidth="1"/>
    <col min="6" max="6" width="14.6640625" bestFit="1" customWidth="1"/>
  </cols>
  <sheetData>
    <row r="1" spans="1:6" ht="17" x14ac:dyDescent="0.25">
      <c r="A1" s="1" t="s">
        <v>19</v>
      </c>
    </row>
    <row r="2" spans="1:6" ht="17" x14ac:dyDescent="0.25">
      <c r="A2" s="1" t="s">
        <v>20</v>
      </c>
    </row>
    <row r="4" spans="1:6" x14ac:dyDescent="0.2">
      <c r="A4" t="s">
        <v>21</v>
      </c>
      <c r="B4" s="3" t="s">
        <v>13</v>
      </c>
      <c r="C4" s="3" t="s">
        <v>22</v>
      </c>
      <c r="D4" s="3" t="s">
        <v>23</v>
      </c>
      <c r="E4" s="3" t="s">
        <v>24</v>
      </c>
      <c r="F4" s="3" t="s">
        <v>33</v>
      </c>
    </row>
    <row r="5" spans="1:6" x14ac:dyDescent="0.2">
      <c r="A5" t="s">
        <v>25</v>
      </c>
      <c r="B5" s="2">
        <f>'IV Analysis'!H2</f>
        <v>9.0450176470175077</v>
      </c>
      <c r="C5" s="2">
        <f>'IV Analysis'!I2</f>
        <v>1.5744084274610455</v>
      </c>
      <c r="D5" s="2">
        <f>B5-F5</f>
        <v>5.9591771291938587</v>
      </c>
      <c r="E5" s="2">
        <f>B5+F5</f>
        <v>12.130858164841158</v>
      </c>
      <c r="F5" s="2">
        <f>1.96*C5</f>
        <v>3.085840517823649</v>
      </c>
    </row>
    <row r="6" spans="1:6" x14ac:dyDescent="0.2">
      <c r="A6" t="s">
        <v>26</v>
      </c>
      <c r="B6" s="2">
        <f>'IV Analysis'!H3</f>
        <v>3.7257450219133998</v>
      </c>
      <c r="C6" s="2">
        <f>'IV Analysis'!I3</f>
        <v>0.63106364147683824</v>
      </c>
      <c r="D6" s="2">
        <f t="shared" ref="D6:D12" si="0">B6-F6</f>
        <v>2.4888602846187968</v>
      </c>
      <c r="E6" s="2">
        <f t="shared" ref="E6:E12" si="1">B6+F6</f>
        <v>4.9626297592080029</v>
      </c>
      <c r="F6" s="2">
        <f t="shared" ref="F6:F12" si="2">1.96*C6</f>
        <v>1.236884737294603</v>
      </c>
    </row>
    <row r="7" spans="1:6" x14ac:dyDescent="0.2">
      <c r="A7" t="s">
        <v>27</v>
      </c>
      <c r="B7" s="2">
        <f>'IV Analysis'!H4</f>
        <v>6.0441543713484691</v>
      </c>
      <c r="C7" s="2">
        <f>'IV Analysis'!I4</f>
        <v>1.0063202839445489</v>
      </c>
      <c r="D7" s="2">
        <f t="shared" si="0"/>
        <v>4.0717666148171539</v>
      </c>
      <c r="E7" s="2">
        <f t="shared" si="1"/>
        <v>8.0165421278797844</v>
      </c>
      <c r="F7" s="2">
        <f t="shared" si="2"/>
        <v>1.9723877565313157</v>
      </c>
    </row>
    <row r="8" spans="1:6" x14ac:dyDescent="0.2">
      <c r="A8" t="s">
        <v>28</v>
      </c>
      <c r="B8" s="2">
        <f>'IV Analysis'!H5</f>
        <v>-8.4058516997616906</v>
      </c>
      <c r="C8" s="2">
        <f>'IV Analysis'!I5</f>
        <v>1.3867189522809908</v>
      </c>
      <c r="D8" s="2">
        <f t="shared" si="0"/>
        <v>-11.123820846232432</v>
      </c>
      <c r="E8" s="2">
        <f t="shared" si="1"/>
        <v>-5.6878825532909492</v>
      </c>
      <c r="F8" s="2">
        <f t="shared" si="2"/>
        <v>2.7179691464707418</v>
      </c>
    </row>
    <row r="9" spans="1:6" x14ac:dyDescent="0.2">
      <c r="A9" t="s">
        <v>29</v>
      </c>
      <c r="B9" s="2">
        <f>'IV Analysis'!H6</f>
        <v>0.25473302607007325</v>
      </c>
      <c r="C9" s="2">
        <f>'IV Analysis'!I6</f>
        <v>5.0632097572680751E-2</v>
      </c>
      <c r="D9" s="2">
        <f t="shared" si="0"/>
        <v>0.15549411482761899</v>
      </c>
      <c r="E9" s="2">
        <f t="shared" si="1"/>
        <v>0.35397193731252752</v>
      </c>
      <c r="F9" s="2">
        <f t="shared" si="2"/>
        <v>9.9238911242454264E-2</v>
      </c>
    </row>
    <row r="10" spans="1:6" x14ac:dyDescent="0.2">
      <c r="A10" t="s">
        <v>30</v>
      </c>
      <c r="B10" s="2">
        <f>'IV Analysis'!H7</f>
        <v>0.24090989712816671</v>
      </c>
      <c r="C10" s="2">
        <f>'IV Analysis'!I7</f>
        <v>5.1990395797253904E-2</v>
      </c>
      <c r="D10" s="2">
        <f t="shared" si="0"/>
        <v>0.13900872136554906</v>
      </c>
      <c r="E10" s="2">
        <f t="shared" si="1"/>
        <v>0.34281107289078439</v>
      </c>
      <c r="F10" s="2">
        <f t="shared" si="2"/>
        <v>0.10190117576261765</v>
      </c>
    </row>
    <row r="11" spans="1:6" x14ac:dyDescent="0.2">
      <c r="A11" t="s">
        <v>31</v>
      </c>
      <c r="B11" s="2">
        <f>'IV Analysis'!H8</f>
        <v>0.64939365006604377</v>
      </c>
      <c r="C11" s="2">
        <f>'IV Analysis'!I8</f>
        <v>0.12028085860655152</v>
      </c>
      <c r="D11" s="2">
        <f t="shared" si="0"/>
        <v>0.41364316719720279</v>
      </c>
      <c r="E11" s="2">
        <f t="shared" si="1"/>
        <v>0.88514413293488481</v>
      </c>
      <c r="F11" s="2">
        <f t="shared" si="2"/>
        <v>0.23575048286884098</v>
      </c>
    </row>
    <row r="12" spans="1:6" x14ac:dyDescent="0.2">
      <c r="A12" t="s">
        <v>32</v>
      </c>
      <c r="B12" s="2">
        <f>'IV Analysis'!H9</f>
        <v>0.44201906920734879</v>
      </c>
      <c r="C12" s="2">
        <f>'IV Analysis'!I9</f>
        <v>9.2657902423254279E-2</v>
      </c>
      <c r="D12" s="2">
        <f t="shared" si="0"/>
        <v>0.26040958045777041</v>
      </c>
      <c r="E12" s="2">
        <f t="shared" si="1"/>
        <v>0.62362855795692718</v>
      </c>
      <c r="F12" s="2">
        <f t="shared" si="2"/>
        <v>0.18160948874957838</v>
      </c>
    </row>
    <row r="15" spans="1:6" ht="51" x14ac:dyDescent="0.2">
      <c r="A15" s="4" t="s">
        <v>34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IV Analysis</vt:lpstr>
      <vt:lpstr>Results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Yusuf Khatri</dc:creator>
  <cp:lastModifiedBy>Yusuf Khatri</cp:lastModifiedBy>
  <dcterms:created xsi:type="dcterms:W3CDTF">2026-09-17T02:49:04Z</dcterms:created>
  <dcterms:modified xsi:type="dcterms:W3CDTF">2026-09-18T01:10:36Z</dcterms:modified>
</cp:coreProperties>
</file>